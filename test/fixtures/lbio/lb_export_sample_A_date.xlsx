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e-wi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Rachana Construction Limited</v>
      </c>
    </row>
    <row r="2">
      <c r="A2" t="str">
        <v>VTR Site – NH 848</v>
      </c>
    </row>
    <row r="3">
      <c r="A3" t="str">
        <v>Log Book – date-wise – 01-10-2026 to 06-10-2026</v>
      </c>
    </row>
    <row r="5">
      <c r="A5" t="str">
        <v>Date</v>
      </c>
      <c r="B5" t="str">
        <v>Shift</v>
      </c>
      <c r="C5" t="str">
        <v>Machinery</v>
      </c>
      <c r="D5" t="str">
        <v>Type</v>
      </c>
      <c r="E5" t="str">
        <v>Measured by</v>
      </c>
      <c r="F5" t="str">
        <v>Start KM</v>
      </c>
      <c r="G5" t="str">
        <v>Close KM</v>
      </c>
      <c r="H5" t="str">
        <v>Total KM</v>
      </c>
      <c r="I5" t="str">
        <v>Start Hrs</v>
      </c>
      <c r="J5" t="str">
        <v>Close Hrs</v>
      </c>
      <c r="K5" t="str">
        <v>Total Hrs</v>
      </c>
      <c r="L5" t="str">
        <v>From time</v>
      </c>
      <c r="M5" t="str">
        <v>To time</v>
      </c>
      <c r="N5" t="str">
        <v>Break (min)</v>
      </c>
      <c r="O5" t="str">
        <v>Trips</v>
      </c>
      <c r="P5" t="str">
        <v>Challan No</v>
      </c>
      <c r="Q5" t="str">
        <v>Chainage From</v>
      </c>
      <c r="R5" t="str">
        <v>Chainage To</v>
      </c>
      <c r="S5" t="str">
        <v>Work Done</v>
      </c>
      <c r="T5" t="str">
        <v>Driver Name</v>
      </c>
      <c r="U5" t="str">
        <v>Remark</v>
      </c>
    </row>
    <row r="6">
      <c r="A6" t="str">
        <v>01-10-2026</v>
      </c>
      <c r="B6" t="str">
        <v>Day</v>
      </c>
      <c r="C6" t="str">
        <v>MH-00-XX-0000</v>
      </c>
      <c r="D6" t="str">
        <v>SAMPLE</v>
      </c>
      <c r="E6" t="str">
        <v>KM + Hrs</v>
      </c>
      <c r="F6">
        <v>1000</v>
      </c>
      <c r="G6">
        <v>1040</v>
      </c>
      <c r="H6">
        <f>IF(AND(ISNUMBER(G6),ISNUMBER(F6)),G6-F6,"")</f>
        <v>40</v>
      </c>
      <c r="I6">
        <v>500</v>
      </c>
      <c r="J6">
        <v>506</v>
      </c>
      <c r="K6">
        <f>IF(AND(ISNUMBER(J6),ISNUMBER(I6)),J6-I6,"")</f>
        <v>6</v>
      </c>
      <c r="L6" t="str">
        <v/>
      </c>
      <c r="M6" t="str">
        <v/>
      </c>
      <c r="N6" t="str">
        <v/>
      </c>
      <c r="O6" t="str">
        <v/>
      </c>
      <c r="P6" t="str">
        <v>CH-101</v>
      </c>
      <c r="Q6" t="str">
        <v>KM 12+500</v>
      </c>
      <c r="R6" t="str">
        <v>13+000</v>
      </c>
      <c r="S6" t="str">
        <v>Excavation</v>
      </c>
      <c r="T6" t="str">
        <v/>
      </c>
      <c r="U6" t="str">
        <v>JCB work</v>
      </c>
    </row>
    <row r="7">
      <c r="A7" t="str">
        <v>01-10-2026</v>
      </c>
      <c r="B7" t="str">
        <v>Full Day</v>
      </c>
      <c r="C7" t="str">
        <v>OLD-2</v>
      </c>
      <c r="D7" t="str">
        <v>Roller</v>
      </c>
      <c r="E7" t="str">
        <v/>
      </c>
      <c r="F7" t="str">
        <v/>
      </c>
      <c r="G7" t="str">
        <v/>
      </c>
      <c r="H7">
        <f>IF(AND(ISNUMBER(G7),ISNUMBER(F7)),G7-F7,"")</f>
      </c>
      <c r="I7" t="str">
        <v/>
      </c>
      <c r="J7" t="str">
        <v/>
      </c>
      <c r="K7">
        <f>IF(AND(ISNUMBER(J7),ISNUMBER(I7)),J7-I7,"")</f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9">
      <c r="A9" t="str">
        <v>02-10-2026</v>
      </c>
      <c r="B9" t="str">
        <v>Day</v>
      </c>
      <c r="C9" t="str">
        <v>MH-00-XX-0000</v>
      </c>
      <c r="D9" t="str">
        <v>SAMPLE</v>
      </c>
      <c r="E9" t="str">
        <v>Time</v>
      </c>
      <c r="F9" t="str">
        <v/>
      </c>
      <c r="G9" t="str">
        <v/>
      </c>
      <c r="H9">
        <f>IF(AND(ISNUMBER(G9),ISNUMBER(F9)),G9-F9,"")</f>
      </c>
      <c r="I9" t="str">
        <v/>
      </c>
      <c r="J9" t="str">
        <v/>
      </c>
      <c r="K9">
        <f>IF(AND(ISNUMBER(J9),ISNUMBER(I9)),J9-I9,"")</f>
        <v>5</v>
      </c>
      <c r="L9" t="str">
        <v>08:00</v>
      </c>
      <c r="M9" t="str">
        <v>13:30</v>
      </c>
      <c r="N9">
        <v>30</v>
      </c>
      <c r="O9" t="str">
        <v/>
      </c>
      <c r="P9" t="str">
        <v>CH-102</v>
      </c>
      <c r="Q9" t="str">
        <v/>
      </c>
      <c r="R9" t="str">
        <v/>
      </c>
      <c r="S9" t="str">
        <v>Loading</v>
      </c>
      <c r="T9" t="str">
        <v/>
      </c>
      <c r="U9" t="str">
        <v/>
      </c>
    </row>
    <row r="10">
      <c r="A10" t="str">
        <v>02-10-2026</v>
      </c>
      <c r="B10" t="str">
        <v>Full Day</v>
      </c>
      <c r="C10" t="str">
        <v>OLD-2</v>
      </c>
      <c r="D10" t="str">
        <v>Roller</v>
      </c>
      <c r="E10" t="str">
        <v/>
      </c>
      <c r="F10" t="str">
        <v/>
      </c>
      <c r="G10" t="str">
        <v/>
      </c>
      <c r="H10">
        <f>IF(AND(ISNUMBER(G10),ISNUMBER(F10)),G10-F10,"")</f>
      </c>
      <c r="I10" t="str">
        <v/>
      </c>
      <c r="J10" t="str">
        <v/>
      </c>
      <c r="K10">
        <f>IF(AND(ISNUMBER(J10),ISNUMBER(I10)),J10-I10,"")</f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2">
      <c r="A12" t="str">
        <v>03-10-2026</v>
      </c>
      <c r="B12" t="str">
        <v>Full Day</v>
      </c>
      <c r="C12" t="str">
        <v>JCB-3DX</v>
      </c>
      <c r="D12" t="str">
        <v>Backhoe</v>
      </c>
      <c r="E12" t="str">
        <v/>
      </c>
      <c r="F12" t="str">
        <v/>
      </c>
      <c r="G12" t="str">
        <v/>
      </c>
      <c r="H12">
        <f>IF(AND(ISNUMBER(G12),ISNUMBER(F12)),G12-F12,"")</f>
      </c>
      <c r="I12" t="str">
        <v/>
      </c>
      <c r="J12" t="str">
        <v/>
      </c>
      <c r="K12">
        <f>IF(AND(ISNUMBER(J12),ISNUMBER(I12)),J12-I12,"")</f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 t="str">
        <v>03-10-2026</v>
      </c>
      <c r="B13" t="str">
        <v>Day</v>
      </c>
      <c r="C13" t="str">
        <v>MH-00-XX-0000</v>
      </c>
      <c r="D13" t="str">
        <v>SAMPLE</v>
      </c>
      <c r="E13" t="str">
        <v>Trip</v>
      </c>
      <c r="F13" t="str">
        <v/>
      </c>
      <c r="G13" t="str">
        <v/>
      </c>
      <c r="H13">
        <f>IF(AND(ISNUMBER(G13),ISNUMBER(F13)),G13-F13,"")</f>
      </c>
      <c r="I13" t="str">
        <v/>
      </c>
      <c r="J13" t="str">
        <v/>
      </c>
      <c r="K13">
        <f>IF(AND(ISNUMBER(J13),ISNUMBER(I13)),J13-I13,"")</f>
      </c>
      <c r="L13" t="str">
        <v/>
      </c>
      <c r="M13" t="str">
        <v/>
      </c>
      <c r="N13" t="str">
        <v/>
      </c>
      <c r="O13">
        <v>12</v>
      </c>
      <c r="P13" t="str">
        <v>CH-103, CH-104</v>
      </c>
      <c r="Q13" t="str">
        <v/>
      </c>
      <c r="R13" t="str">
        <v/>
      </c>
      <c r="S13" t="str">
        <v>Murum carting</v>
      </c>
      <c r="T13" t="str">
        <v/>
      </c>
      <c r="U13" t="str">
        <v/>
      </c>
    </row>
    <row r="15">
      <c r="A15" t="str">
        <v>04-10-2026</v>
      </c>
      <c r="B15" t="str">
        <v>Full Day</v>
      </c>
      <c r="C15" t="str">
        <v>JCB-3DX</v>
      </c>
      <c r="D15" t="str">
        <v>Backhoe</v>
      </c>
      <c r="E15" t="str">
        <v/>
      </c>
      <c r="F15" t="str">
        <v/>
      </c>
      <c r="G15" t="str">
        <v/>
      </c>
      <c r="H15">
        <f>IF(AND(ISNUMBER(G15),ISNUMBER(F15)),G15-F15,"")</f>
      </c>
      <c r="I15" t="str">
        <v/>
      </c>
      <c r="J15" t="str">
        <v/>
      </c>
      <c r="K15">
        <f>IF(AND(ISNUMBER(J15),ISNUMBER(I15)),J15-I15,"")</f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 t="str">
        <v>04-10-2026</v>
      </c>
      <c r="B16" t="str">
        <v>Day</v>
      </c>
      <c r="C16" t="str">
        <v>MH-00-XX-0000</v>
      </c>
      <c r="D16" t="str">
        <v>SAMPLE</v>
      </c>
      <c r="E16" t="str">
        <v>KM</v>
      </c>
      <c r="F16">
        <v>1040</v>
      </c>
      <c r="G16">
        <v>1075</v>
      </c>
      <c r="H16">
        <f>IF(AND(ISNUMBER(G16),ISNUMBER(F16)),G16-F16,"")</f>
        <v>35</v>
      </c>
      <c r="I16" t="str">
        <v/>
      </c>
      <c r="J16" t="str">
        <v/>
      </c>
      <c r="K16">
        <f>IF(AND(ISNUMBER(J16),ISNUMBER(I16)),J16-I16,"")</f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>Shifting</v>
      </c>
      <c r="T16" t="str">
        <v/>
      </c>
      <c r="U16" t="str">
        <v/>
      </c>
    </row>
    <row r="18">
      <c r="A18" t="str">
        <v>05-10-2026</v>
      </c>
      <c r="B18" t="str">
        <v>Full Day</v>
      </c>
      <c r="C18" t="str">
        <v>JCB-3DX</v>
      </c>
      <c r="D18" t="str">
        <v>Backhoe</v>
      </c>
      <c r="E18" t="str">
        <v/>
      </c>
      <c r="F18" t="str">
        <v/>
      </c>
      <c r="G18" t="str">
        <v/>
      </c>
      <c r="H18">
        <f>IF(AND(ISNUMBER(G18),ISNUMBER(F18)),G18-F18,"")</f>
      </c>
      <c r="I18" t="str">
        <v/>
      </c>
      <c r="J18" t="str">
        <v/>
      </c>
      <c r="K18">
        <f>IF(AND(ISNUMBER(J18),ISNUMBER(I18)),J18-I18,"")</f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 t="str">
        <v>05-10-2026</v>
      </c>
      <c r="B19" t="str">
        <v>Day</v>
      </c>
      <c r="C19" t="str">
        <v>MH-00-XX-0000</v>
      </c>
      <c r="D19" t="str">
        <v>SAMPLE</v>
      </c>
      <c r="E19" t="str">
        <v>Holiday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1">
      <c r="A21" t="str">
        <v>06-10-2026</v>
      </c>
      <c r="B21" t="str">
        <v>Full Day</v>
      </c>
      <c r="C21" t="str">
        <v>JCB-3DX</v>
      </c>
      <c r="D21" t="str">
        <v>Backhoe</v>
      </c>
      <c r="E21" t="str">
        <v/>
      </c>
      <c r="F21" t="str">
        <v/>
      </c>
      <c r="G21" t="str">
        <v/>
      </c>
      <c r="H21">
        <f>IF(AND(ISNUMBER(G21),ISNUMBER(F21)),G21-F21,"")</f>
      </c>
      <c r="I21" t="str">
        <v/>
      </c>
      <c r="J21" t="str">
        <v/>
      </c>
      <c r="K21">
        <f>IF(AND(ISNUMBER(J21),ISNUMBER(I21)),J21-I21,"")</f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A22" t="str">
        <v>06-10-2026</v>
      </c>
      <c r="B22" t="str">
        <v>Day</v>
      </c>
      <c r="C22" t="str">
        <v>MH-00-XX-0000</v>
      </c>
      <c r="D22" t="str">
        <v>SAMPLE</v>
      </c>
      <c r="E22" t="str">
        <v>Idle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4">
      <c r="A24" t="str">
        <v>Total – 6 entries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>
        <v>75</v>
      </c>
      <c r="I24" t="str">
        <v/>
      </c>
      <c r="J24" t="str">
        <v/>
      </c>
      <c r="K24">
        <v>11</v>
      </c>
      <c r="L24" t="str">
        <v/>
      </c>
      <c r="M24" t="str">
        <v/>
      </c>
      <c r="N24" t="str">
        <v/>
      </c>
      <c r="O24">
        <v>12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</sheetData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Date-wise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